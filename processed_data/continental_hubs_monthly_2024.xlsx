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nthly Passengers" sheetId="2" state="visible" r:id="rId4"/>
    <sheet name="Monthly Flights (Est)" sheetId="3" state="visible" r:id="rId5"/>
    <sheet name="Data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<sst xmlns="http://schemas.openxmlformats.org/spreadsheetml/2006/main" count="116" uniqueCount="95">
  <si>
    <t xml:space="preserve">Airport</t>
  </si>
  <si>
    <t xml:space="preserve">City</t>
  </si>
  <si>
    <t xml:space="preserve">Country</t>
  </si>
  <si>
    <t xml:space="preserve">Continent</t>
  </si>
  <si>
    <t xml:space="preserve">IATA</t>
  </si>
  <si>
    <t xml:space="preserve">Total Passengers 2024</t>
  </si>
  <si>
    <t xml:space="preserve">Total Flights 2024</t>
  </si>
  <si>
    <t xml:space="preserve">Avg Monthly Pax</t>
  </si>
  <si>
    <t xml:space="preserve">Charles de Gaulle</t>
  </si>
  <si>
    <t xml:space="preserve">Paris</t>
  </si>
  <si>
    <t xml:space="preserve">France</t>
  </si>
  <si>
    <t xml:space="preserve">Europe</t>
  </si>
  <si>
    <t xml:space="preserve">CDG</t>
  </si>
  <si>
    <t xml:space="preserve">Hartsfield-Jackson Atlanta International</t>
  </si>
  <si>
    <t xml:space="preserve">Atlanta</t>
  </si>
  <si>
    <t xml:space="preserve">United States</t>
  </si>
  <si>
    <t xml:space="preserve">North America</t>
  </si>
  <si>
    <t xml:space="preserve">ATL</t>
  </si>
  <si>
    <t xml:space="preserve">Dubai International</t>
  </si>
  <si>
    <t xml:space="preserve">Dubai</t>
  </si>
  <si>
    <t xml:space="preserve">United Arab Emirates</t>
  </si>
  <si>
    <t xml:space="preserve">Asia</t>
  </si>
  <si>
    <t xml:space="preserve">DXB</t>
  </si>
  <si>
    <t xml:space="preserve">Guarulhos International</t>
  </si>
  <si>
    <t xml:space="preserve">São Paulo</t>
  </si>
  <si>
    <t xml:space="preserve">Brazil</t>
  </si>
  <si>
    <t xml:space="preserve">South America</t>
  </si>
  <si>
    <t xml:space="preserve">GRU</t>
  </si>
  <si>
    <t xml:space="preserve">Mohammed V International</t>
  </si>
  <si>
    <t xml:space="preserve">Casablanca</t>
  </si>
  <si>
    <t xml:space="preserve">Morocco</t>
  </si>
  <si>
    <t xml:space="preserve">Africa</t>
  </si>
  <si>
    <t xml:space="preserve">CMN</t>
  </si>
  <si>
    <t xml:space="preserve">Sydney Kingsford Smith</t>
  </si>
  <si>
    <t xml:space="preserve">Sydney</t>
  </si>
  <si>
    <t xml:space="preserve">Australia</t>
  </si>
  <si>
    <t xml:space="preserve">Oceania</t>
  </si>
  <si>
    <t xml:space="preserve">SYD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</si>
  <si>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</si>
  <si>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</si>
  <si>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</si>
  <si>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</si>
  <si>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</si>
  <si>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</si>
  <si>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</si>
  <si>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</si>
  <si>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</si>
  <si>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</si>
  <si>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</si>
  <si>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</si>
  <si>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</si>
  <si>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CDG - Paris</t>
  </si>
  <si>
    <t xml:space="preserve">ATL - Atlanta</t>
  </si>
  <si>
    <t xml:space="preserve">DXB - Dubai</t>
  </si>
  <si>
    <t xml:space="preserve">GRU - São Paulo</t>
  </si>
  <si>
    <t xml:space="preserve">CMN - Casablanca</t>
  </si>
  <si>
    <t xml:space="preserve">SYD - Sydney</t>
  </si>
  <si>
    <t xml:space="preserve">TOTAL</t>
  </si>
  <si>
    <t xml:space="preserve">Continental Hubs - Monthly Flight Data 2024</t>
  </si>
  <si>
    <t xml:space="preserve">DATA SOURCES:</t>
  </si>
  <si>
    <t xml:space="preserve">CDG (Paris)</t>
  </si>
  <si>
    <t xml:space="preserve">Paris Aéroport / Groupe ADP official monthly traffic reports</t>
  </si>
  <si>
    <t xml:space="preserve">ATL (Atlanta)</t>
  </si>
  <si>
    <t xml:space="preserve">ATL Official Statistics, Road Genius analysis</t>
  </si>
  <si>
    <t xml:space="preserve">DXB (Dubai)</t>
  </si>
  <si>
    <t xml:space="preserve">Dubai Airports official quarterly/annual reports</t>
  </si>
  <si>
    <t xml:space="preserve">GRU (São Paulo)</t>
  </si>
  <si>
    <t xml:space="preserve">GRU Airport official reports, CEIC Data</t>
  </si>
  <si>
    <t xml:space="preserve">CMN (Casablanca)</t>
  </si>
  <si>
    <t xml:space="preserve">ONDA (Morocco National Airports Office)</t>
  </si>
  <si>
    <t xml:space="preserve">SYD (Sydney)</t>
  </si>
  <si>
    <t xml:space="preserve">Sydney Airport Corporation quarterly reports</t>
  </si>
  <si>
    <t xml:space="preserve">METHODOLOGY:</t>
  </si>
  <si>
    <t xml:space="preserve">- Passenger data in white cells: Official reported figures</t>
  </si>
  <si>
    <t xml:space="preserve">- Passenger data in yellow cells: Estimates based on:</t>
  </si>
  <si>
    <t xml:space="preserve">  • Annual totals (officially reported)</t>
  </si>
  <si>
    <t xml:space="preserve">  • Quarterly breakdowns (when available)</t>
  </si>
  <si>
    <t xml:space="preserve">  • Seasonal patterns (summer peaks, winter lows)</t>
  </si>
  <si>
    <t xml:space="preserve">  • Regional travel patterns</t>
  </si>
  <si>
    <t xml:space="preserve">- Flight estimates calculated using avg passengers per flight:</t>
  </si>
  <si>
    <t xml:space="preserve">  CDG: 151 pax/flight (70.3M ÷ 466K flights)</t>
  </si>
  <si>
    <t xml:space="preserve">  ATL: 136 pax/flight (108M ÷ 796K flights)</t>
  </si>
  <si>
    <t xml:space="preserve">  DXB: 210 pax/flight (92.3M ÷ 440K flights - larger A380/B777)</t>
  </si>
  <si>
    <t xml:space="preserve">  GRU: 163 pax/flight (43.6M ÷ 267K flights)</t>
  </si>
  <si>
    <t xml:space="preserve">  CMN: 151 pax/flight (similar profile to CDG)</t>
  </si>
  <si>
    <t xml:space="preserve">  SYD: 119 pax/flight (41.4M ÷ 349K flights)</t>
  </si>
  <si>
    <t xml:space="preserve">KNOWN DATA POINTS:</t>
  </si>
  <si>
    <t xml:space="preserve">CDG: Apr-Dec official, annual total confirmed</t>
  </si>
  <si>
    <t xml:space="preserve">ATL: May, Jun, Jul, Aug, Oct official, annual 108.1M confirmed</t>
  </si>
  <si>
    <t xml:space="preserve">DXB: Jan (7.9M), Dec (8.2M) official, annual 92.3M confirmed</t>
  </si>
  <si>
    <t xml:space="preserve">GRU: Dec (3.9M) official, annual 43.6M (record) confirmed</t>
  </si>
  <si>
    <t xml:space="preserve">CMN: Mar (705K), May (869K) official, Q1 2.25M confirmed</t>
  </si>
  <si>
    <t xml:space="preserve">SYD: Jan-Aug, Nov official, Q1-Q4 totals confirmed</t>
  </si>
  <si>
    <t xml:space="preserve">Created: December 2024</t>
  </si>
  <si>
    <t xml:space="preserve">For: SUPSI Aviation Connectivity Visualization Project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</si>
</sst>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8" min="7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n">
        <v>70290260</v>
      </c>
      <c r="G2" s="3" t="n">
        <v>466543</v>
      </c>
      <c r="H2" s="3" t="n">
        <v>5857522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3" t="n">
        <v>108070000</v>
      </c>
      <c r="G3" s="3" t="n">
        <v>796224</v>
      </c>
      <c r="H3" s="3" t="n">
        <v>9005833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n">
        <v>92300000</v>
      </c>
      <c r="G4" s="3" t="n">
        <v>440300</v>
      </c>
      <c r="H4" s="3" t="n">
        <v>7691667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3" t="n">
        <v>43600000</v>
      </c>
      <c r="G5" s="3" t="n">
        <v>267000</v>
      </c>
      <c r="H5" s="3" t="n">
        <v>3633333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 t="n">
        <v>10100000</v>
      </c>
      <c r="G6" s="3" t="n">
        <v>67000</v>
      </c>
      <c r="H6" s="3" t="n">
        <v>841667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3" t="n">
        <v>41400000</v>
      </c>
      <c r="G7" s="3" t="n">
        <v>348904</v>
      </c>
      <c r="H7" s="3" t="n">
        <v>3450000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4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4" t="s">
        <v>50</v>
      </c>
    </row>
    <row r="2" customFormat="false" ht="15" hidden="false" customHeight="false" outlineLevel="0" collapsed="false">
      <c r="A2" s="2" t="s">
        <v>51</v>
      </c>
      <c r="B2" s="5" t="n">
        <v>5108000</v>
      </c>
      <c r="C2" s="5" t="n">
        <v>4698000</v>
      </c>
      <c r="D2" s="5" t="n">
        <v>5252000</v>
      </c>
      <c r="E2" s="6" t="n">
        <v>5750138</v>
      </c>
      <c r="F2" s="6" t="n">
        <v>6109537</v>
      </c>
      <c r="G2" s="6" t="n">
        <v>6270801</v>
      </c>
      <c r="H2" s="6" t="n">
        <v>6662862</v>
      </c>
      <c r="I2" s="6" t="n">
        <v>6868032</v>
      </c>
      <c r="J2" s="6" t="n">
        <v>6211747</v>
      </c>
      <c r="K2" s="6" t="n">
        <v>6219714</v>
      </c>
      <c r="L2" s="6" t="n">
        <v>5304078</v>
      </c>
      <c r="M2" s="6" t="n">
        <v>5834984</v>
      </c>
      <c r="N2" s="7" t="n">
        <f aca="false">SUM(B2:M2)</f>
        <v>70289893</v>
      </c>
    </row>
    <row r="3" customFormat="false" ht="15" hidden="false" customHeight="false" outlineLevel="0" collapsed="false">
      <c r="A3" s="2" t="s">
        <v>52</v>
      </c>
      <c r="B3" s="5" t="n">
        <v>8150000</v>
      </c>
      <c r="C3" s="5" t="n">
        <v>7850000</v>
      </c>
      <c r="D3" s="5" t="n">
        <v>8950000</v>
      </c>
      <c r="E3" s="5" t="n">
        <v>8800000</v>
      </c>
      <c r="F3" s="6" t="n">
        <v>9890000</v>
      </c>
      <c r="G3" s="6" t="n">
        <v>9920000</v>
      </c>
      <c r="H3" s="6" t="n">
        <v>9380000</v>
      </c>
      <c r="I3" s="6" t="n">
        <v>9500000</v>
      </c>
      <c r="J3" s="5" t="n">
        <v>8750000</v>
      </c>
      <c r="K3" s="6" t="n">
        <v>9370000</v>
      </c>
      <c r="L3" s="5" t="n">
        <v>8510000</v>
      </c>
      <c r="M3" s="5" t="n">
        <v>9000000</v>
      </c>
      <c r="N3" s="7" t="n">
        <f aca="false">SUM(B3:M3)</f>
        <v>108070000</v>
      </c>
    </row>
    <row r="4" customFormat="false" ht="15" hidden="false" customHeight="false" outlineLevel="0" collapsed="false">
      <c r="A4" s="2" t="s">
        <v>53</v>
      </c>
      <c r="B4" s="6" t="n">
        <v>7900000</v>
      </c>
      <c r="C4" s="5" t="n">
        <v>7400000</v>
      </c>
      <c r="D4" s="5" t="n">
        <v>7700000</v>
      </c>
      <c r="E4" s="5" t="n">
        <v>6800000</v>
      </c>
      <c r="F4" s="5" t="n">
        <v>7200000</v>
      </c>
      <c r="G4" s="5" t="n">
        <v>7500000</v>
      </c>
      <c r="H4" s="5" t="n">
        <v>7800000</v>
      </c>
      <c r="I4" s="5" t="n">
        <v>8000000</v>
      </c>
      <c r="J4" s="5" t="n">
        <v>7600000</v>
      </c>
      <c r="K4" s="5" t="n">
        <v>7800000</v>
      </c>
      <c r="L4" s="5" t="n">
        <v>7600000</v>
      </c>
      <c r="M4" s="6" t="n">
        <v>8200000</v>
      </c>
      <c r="N4" s="7" t="n">
        <f aca="false">SUM(B4:M4)</f>
        <v>91500000</v>
      </c>
    </row>
    <row r="5" customFormat="false" ht="15" hidden="false" customHeight="false" outlineLevel="0" collapsed="false">
      <c r="A5" s="2" t="s">
        <v>54</v>
      </c>
      <c r="B5" s="5" t="n">
        <v>4100000</v>
      </c>
      <c r="C5" s="5" t="n">
        <v>3500000</v>
      </c>
      <c r="D5" s="5" t="n">
        <v>3450000</v>
      </c>
      <c r="E5" s="5" t="n">
        <v>3400000</v>
      </c>
      <c r="F5" s="5" t="n">
        <v>3350000</v>
      </c>
      <c r="G5" s="5" t="n">
        <v>3300000</v>
      </c>
      <c r="H5" s="5" t="n">
        <v>3800000</v>
      </c>
      <c r="I5" s="5" t="n">
        <v>3500000</v>
      </c>
      <c r="J5" s="5" t="n">
        <v>3350000</v>
      </c>
      <c r="K5" s="5" t="n">
        <v>3550000</v>
      </c>
      <c r="L5" s="5" t="n">
        <v>3400000</v>
      </c>
      <c r="M5" s="6" t="n">
        <v>3900000</v>
      </c>
      <c r="N5" s="7" t="n">
        <f aca="false">SUM(B5:M5)</f>
        <v>42600000</v>
      </c>
    </row>
    <row r="6" customFormat="false" ht="15" hidden="false" customHeight="false" outlineLevel="0" collapsed="false">
      <c r="A6" s="2" t="s">
        <v>55</v>
      </c>
      <c r="B6" s="5" t="n">
        <v>770000</v>
      </c>
      <c r="C6" s="5" t="n">
        <v>720000</v>
      </c>
      <c r="D6" s="6" t="n">
        <v>705000</v>
      </c>
      <c r="E6" s="5" t="n">
        <v>758000</v>
      </c>
      <c r="F6" s="6" t="n">
        <v>869278</v>
      </c>
      <c r="G6" s="5" t="n">
        <v>910000</v>
      </c>
      <c r="H6" s="5" t="n">
        <v>1050000</v>
      </c>
      <c r="I6" s="5" t="n">
        <v>1100000</v>
      </c>
      <c r="J6" s="5" t="n">
        <v>920000</v>
      </c>
      <c r="K6" s="5" t="n">
        <v>850000</v>
      </c>
      <c r="L6" s="5" t="n">
        <v>700000</v>
      </c>
      <c r="M6" s="5" t="n">
        <v>750000</v>
      </c>
      <c r="N6" s="7" t="n">
        <f aca="false">SUM(B6:M6)</f>
        <v>10102278</v>
      </c>
    </row>
    <row r="7" customFormat="false" ht="15" hidden="false" customHeight="false" outlineLevel="0" collapsed="false">
      <c r="A7" s="2" t="s">
        <v>56</v>
      </c>
      <c r="B7" s="6" t="n">
        <v>3586146</v>
      </c>
      <c r="C7" s="6" t="n">
        <v>3296725</v>
      </c>
      <c r="D7" s="6" t="n">
        <v>3439307</v>
      </c>
      <c r="E7" s="6" t="n">
        <v>2872406</v>
      </c>
      <c r="F7" s="6" t="n">
        <v>3223549</v>
      </c>
      <c r="G7" s="6" t="n">
        <v>3184198</v>
      </c>
      <c r="H7" s="6" t="n">
        <v>3527111</v>
      </c>
      <c r="I7" s="6" t="n">
        <v>3370641</v>
      </c>
      <c r="J7" s="5" t="n">
        <v>3400000</v>
      </c>
      <c r="K7" s="5" t="n">
        <v>3650000</v>
      </c>
      <c r="L7" s="6" t="n">
        <v>3544984</v>
      </c>
      <c r="M7" s="5" t="n">
        <v>3700000</v>
      </c>
      <c r="N7" s="7" t="n">
        <f aca="false">SUM(B7:M7)</f>
        <v>40795067</v>
      </c>
    </row>
    <row r="8" customFormat="false" ht="15" hidden="false" customHeight="false" outlineLevel="0" collapsed="false">
      <c r="A8" s="8" t="s">
        <v>57</v>
      </c>
      <c r="B8" s="9" t="n">
        <f aca="false">SUM(B2:B7)</f>
        <v>29614146</v>
      </c>
      <c r="C8" s="9" t="n">
        <f aca="false">SUM(C2:C7)</f>
        <v>27464725</v>
      </c>
      <c r="D8" s="9" t="n">
        <f aca="false">SUM(D2:D7)</f>
        <v>29496307</v>
      </c>
      <c r="E8" s="9" t="n">
        <f aca="false">SUM(E2:E7)</f>
        <v>28380544</v>
      </c>
      <c r="F8" s="9" t="n">
        <f aca="false">SUM(F2:F7)</f>
        <v>30642364</v>
      </c>
      <c r="G8" s="9" t="n">
        <f aca="false">SUM(G2:G7)</f>
        <v>31084999</v>
      </c>
      <c r="H8" s="9" t="n">
        <f aca="false">SUM(H2:H7)</f>
        <v>32219973</v>
      </c>
      <c r="I8" s="9" t="n">
        <f aca="false">SUM(I2:I7)</f>
        <v>32338673</v>
      </c>
      <c r="J8" s="9" t="n">
        <f aca="false">SUM(J2:J7)</f>
        <v>30231747</v>
      </c>
      <c r="K8" s="9" t="n">
        <f aca="false">SUM(K2:K7)</f>
        <v>31439714</v>
      </c>
      <c r="L8" s="9" t="n">
        <f aca="false">SUM(L2:L7)</f>
        <v>29059062</v>
      </c>
      <c r="M8" s="9" t="n">
        <f aca="false">SUM(M2:M7)</f>
        <v>31384984</v>
      </c>
      <c r="N8" s="9" t="n">
        <f aca="false">SUM(N2:N7)</f>
        <v>363357238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14" min="2" style="0" width="10"/>
  </cols>
  <sheetData>
    <row r="1" customFormat="false" ht="15" hidden="false" customHeight="false" outlineLevel="0" collapsed="false">
      <c r="A1" s="4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4" t="s">
        <v>50</v>
      </c>
    </row>
    <row r="2" customFormat="false" ht="15" hidden="false" customHeight="false" outlineLevel="0" collapsed="false">
      <c r="A2" s="2" t="s">
        <v>51</v>
      </c>
      <c r="B2" s="10" t="n">
        <v>33828</v>
      </c>
      <c r="C2" s="10" t="n">
        <v>31113</v>
      </c>
      <c r="D2" s="10" t="n">
        <v>34781</v>
      </c>
      <c r="E2" s="10" t="n">
        <v>38080</v>
      </c>
      <c r="F2" s="10" t="n">
        <v>40461</v>
      </c>
      <c r="G2" s="10" t="n">
        <v>41528</v>
      </c>
      <c r="H2" s="10" t="n">
        <v>44125</v>
      </c>
      <c r="I2" s="10" t="n">
        <v>45484</v>
      </c>
      <c r="J2" s="10" t="n">
        <v>41137</v>
      </c>
      <c r="K2" s="10" t="n">
        <v>41190</v>
      </c>
      <c r="L2" s="10" t="n">
        <v>35126</v>
      </c>
      <c r="M2" s="10" t="n">
        <v>38642</v>
      </c>
      <c r="N2" s="7" t="n">
        <f aca="false">SUM(B2:M2)</f>
        <v>465495</v>
      </c>
    </row>
    <row r="3" customFormat="false" ht="15" hidden="false" customHeight="false" outlineLevel="0" collapsed="false">
      <c r="A3" s="2" t="s">
        <v>52</v>
      </c>
      <c r="B3" s="10" t="n">
        <v>59926</v>
      </c>
      <c r="C3" s="10" t="n">
        <v>57721</v>
      </c>
      <c r="D3" s="10" t="n">
        <v>65809</v>
      </c>
      <c r="E3" s="10" t="n">
        <v>64706</v>
      </c>
      <c r="F3" s="10" t="n">
        <v>72721</v>
      </c>
      <c r="G3" s="10" t="n">
        <v>72941</v>
      </c>
      <c r="H3" s="10" t="n">
        <v>68971</v>
      </c>
      <c r="I3" s="10" t="n">
        <v>69853</v>
      </c>
      <c r="J3" s="10" t="n">
        <v>64338</v>
      </c>
      <c r="K3" s="10" t="n">
        <v>68897</v>
      </c>
      <c r="L3" s="10" t="n">
        <v>62574</v>
      </c>
      <c r="M3" s="10" t="n">
        <v>66176</v>
      </c>
      <c r="N3" s="7" t="n">
        <f aca="false">SUM(B3:M3)</f>
        <v>794633</v>
      </c>
    </row>
    <row r="4" customFormat="false" ht="15" hidden="false" customHeight="false" outlineLevel="0" collapsed="false">
      <c r="A4" s="2" t="s">
        <v>53</v>
      </c>
      <c r="B4" s="10" t="n">
        <v>37619</v>
      </c>
      <c r="C4" s="10" t="n">
        <v>35238</v>
      </c>
      <c r="D4" s="10" t="n">
        <v>36667</v>
      </c>
      <c r="E4" s="10" t="n">
        <v>32381</v>
      </c>
      <c r="F4" s="10" t="n">
        <v>34286</v>
      </c>
      <c r="G4" s="10" t="n">
        <v>35714</v>
      </c>
      <c r="H4" s="10" t="n">
        <v>37143</v>
      </c>
      <c r="I4" s="10" t="n">
        <v>38095</v>
      </c>
      <c r="J4" s="10" t="n">
        <v>36190</v>
      </c>
      <c r="K4" s="10" t="n">
        <v>37143</v>
      </c>
      <c r="L4" s="10" t="n">
        <v>36190</v>
      </c>
      <c r="M4" s="10" t="n">
        <v>39048</v>
      </c>
      <c r="N4" s="7" t="n">
        <f aca="false">SUM(B4:M4)</f>
        <v>435714</v>
      </c>
    </row>
    <row r="5" customFormat="false" ht="15" hidden="false" customHeight="false" outlineLevel="0" collapsed="false">
      <c r="A5" s="2" t="s">
        <v>54</v>
      </c>
      <c r="B5" s="10" t="n">
        <v>25153</v>
      </c>
      <c r="C5" s="10" t="n">
        <v>21472</v>
      </c>
      <c r="D5" s="10" t="n">
        <v>21166</v>
      </c>
      <c r="E5" s="10" t="n">
        <v>20859</v>
      </c>
      <c r="F5" s="10" t="n">
        <v>20552</v>
      </c>
      <c r="G5" s="10" t="n">
        <v>20245</v>
      </c>
      <c r="H5" s="10" t="n">
        <v>23313</v>
      </c>
      <c r="I5" s="10" t="n">
        <v>21472</v>
      </c>
      <c r="J5" s="10" t="n">
        <v>20552</v>
      </c>
      <c r="K5" s="10" t="n">
        <v>21779</v>
      </c>
      <c r="L5" s="10" t="n">
        <v>20859</v>
      </c>
      <c r="M5" s="10" t="n">
        <v>23926</v>
      </c>
      <c r="N5" s="7" t="n">
        <f aca="false">SUM(B5:M5)</f>
        <v>261348</v>
      </c>
    </row>
    <row r="6" customFormat="false" ht="15" hidden="false" customHeight="false" outlineLevel="0" collapsed="false">
      <c r="A6" s="2" t="s">
        <v>55</v>
      </c>
      <c r="B6" s="10" t="n">
        <v>5099</v>
      </c>
      <c r="C6" s="10" t="n">
        <v>4768</v>
      </c>
      <c r="D6" s="10" t="n">
        <v>4669</v>
      </c>
      <c r="E6" s="10" t="n">
        <v>5020</v>
      </c>
      <c r="F6" s="10" t="n">
        <v>5757</v>
      </c>
      <c r="G6" s="10" t="n">
        <v>6026</v>
      </c>
      <c r="H6" s="10" t="n">
        <v>6954</v>
      </c>
      <c r="I6" s="10" t="n">
        <v>7285</v>
      </c>
      <c r="J6" s="10" t="n">
        <v>6093</v>
      </c>
      <c r="K6" s="10" t="n">
        <v>5629</v>
      </c>
      <c r="L6" s="10" t="n">
        <v>4636</v>
      </c>
      <c r="M6" s="10" t="n">
        <v>4967</v>
      </c>
      <c r="N6" s="7" t="n">
        <f aca="false">SUM(B6:M6)</f>
        <v>66903</v>
      </c>
    </row>
    <row r="7" customFormat="false" ht="15" hidden="false" customHeight="false" outlineLevel="0" collapsed="false">
      <c r="A7" s="2" t="s">
        <v>56</v>
      </c>
      <c r="B7" s="10" t="n">
        <v>30136</v>
      </c>
      <c r="C7" s="10" t="n">
        <v>27704</v>
      </c>
      <c r="D7" s="10" t="n">
        <v>28902</v>
      </c>
      <c r="E7" s="10" t="n">
        <v>24138</v>
      </c>
      <c r="F7" s="10" t="n">
        <v>27089</v>
      </c>
      <c r="G7" s="10" t="n">
        <v>26758</v>
      </c>
      <c r="H7" s="10" t="n">
        <v>29640</v>
      </c>
      <c r="I7" s="10" t="n">
        <v>28325</v>
      </c>
      <c r="J7" s="10" t="n">
        <v>28571</v>
      </c>
      <c r="K7" s="10" t="n">
        <v>30672</v>
      </c>
      <c r="L7" s="10" t="n">
        <v>29790</v>
      </c>
      <c r="M7" s="10" t="n">
        <v>31092</v>
      </c>
      <c r="N7" s="7" t="n">
        <f aca="false">SUM(B7:M7)</f>
        <v>342817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1" t="s">
        <v>58</v>
      </c>
    </row>
    <row r="3" customFormat="false" ht="15" hidden="false" customHeight="false" outlineLevel="0" collapsed="false">
      <c r="A3" s="0" t="s">
        <v>59</v>
      </c>
    </row>
    <row r="4" customFormat="false" ht="15" hidden="false" customHeight="false" outlineLevel="0" collapsed="false">
      <c r="A4" s="0" t="s">
        <v>60</v>
      </c>
      <c r="B4" s="0" t="s">
        <v>61</v>
      </c>
    </row>
    <row r="5" customFormat="false" ht="15" hidden="false" customHeight="false" outlineLevel="0" collapsed="false">
      <c r="A5" s="0" t="s">
        <v>62</v>
      </c>
      <c r="B5" s="0" t="s">
        <v>63</v>
      </c>
    </row>
    <row r="6" customFormat="false" ht="15" hidden="false" customHeight="false" outlineLevel="0" collapsed="false">
      <c r="A6" s="0" t="s">
        <v>64</v>
      </c>
      <c r="B6" s="0" t="s">
        <v>65</v>
      </c>
    </row>
    <row r="7" customFormat="false" ht="15" hidden="false" customHeight="false" outlineLevel="0" collapsed="false">
      <c r="A7" s="0" t="s">
        <v>66</v>
      </c>
      <c r="B7" s="0" t="s">
        <v>67</v>
      </c>
    </row>
    <row r="8" customFormat="false" ht="15" hidden="false" customHeight="false" outlineLevel="0" collapsed="false">
      <c r="A8" s="0" t="s">
        <v>68</v>
      </c>
      <c r="B8" s="0" t="s">
        <v>69</v>
      </c>
    </row>
    <row r="9" customFormat="false" ht="15" hidden="false" customHeight="false" outlineLevel="0" collapsed="false">
      <c r="A9" s="0" t="s">
        <v>70</v>
      </c>
      <c r="B9" s="0" t="s">
        <v>71</v>
      </c>
    </row>
    <row r="11" customFormat="false" ht="15" hidden="false" customHeight="false" outlineLevel="0" collapsed="false">
      <c r="A11" s="0" t="s">
        <v>72</v>
      </c>
    </row>
    <row r="12" customFormat="false" ht="15" hidden="false" customHeight="false" outlineLevel="0" collapsed="false">
      <c r="A12" s="0" t="s">
        <v>73</v>
      </c>
    </row>
    <row r="13" customFormat="false" ht="15" hidden="false" customHeight="false" outlineLevel="0" collapsed="false">
      <c r="A13" s="0" t="s">
        <v>74</v>
      </c>
    </row>
    <row r="14" customFormat="false" ht="15" hidden="false" customHeight="false" outlineLevel="0" collapsed="false">
      <c r="A14" s="0" t="s">
        <v>75</v>
      </c>
    </row>
    <row r="15" customFormat="false" ht="15" hidden="false" customHeight="false" outlineLevel="0" collapsed="false">
      <c r="A15" s="0" t="s">
        <v>76</v>
      </c>
    </row>
    <row r="16" customFormat="false" ht="15" hidden="false" customHeight="false" outlineLevel="0" collapsed="false">
      <c r="A16" s="0" t="s">
        <v>77</v>
      </c>
    </row>
    <row r="17" customFormat="false" ht="15" hidden="false" customHeight="false" outlineLevel="0" collapsed="false">
      <c r="A17" s="0" t="s">
        <v>78</v>
      </c>
    </row>
    <row r="19" customFormat="false" ht="15" hidden="false" customHeight="false" outlineLevel="0" collapsed="false">
      <c r="A19" s="0" t="s">
        <v>79</v>
      </c>
    </row>
    <row r="20" customFormat="false" ht="15" hidden="false" customHeight="false" outlineLevel="0" collapsed="false">
      <c r="A20" s="0" t="s">
        <v>80</v>
      </c>
    </row>
    <row r="21" customFormat="false" ht="15" hidden="false" customHeight="false" outlineLevel="0" collapsed="false">
      <c r="A21" s="0" t="s">
        <v>81</v>
      </c>
    </row>
    <row r="22" customFormat="false" ht="15" hidden="false" customHeight="false" outlineLevel="0" collapsed="false">
      <c r="A22" s="0" t="s">
        <v>82</v>
      </c>
    </row>
    <row r="23" customFormat="false" ht="15" hidden="false" customHeight="false" outlineLevel="0" collapsed="false">
      <c r="A23" s="0" t="s">
        <v>83</v>
      </c>
    </row>
    <row r="24" customFormat="false" ht="15" hidden="false" customHeight="false" outlineLevel="0" collapsed="false">
      <c r="A24" s="0" t="s">
        <v>84</v>
      </c>
    </row>
    <row r="25" customFormat="false" ht="15" hidden="false" customHeight="false" outlineLevel="0" collapsed="false">
      <c r="A25" s="0" t="s">
        <v>85</v>
      </c>
    </row>
    <row r="27" customFormat="false" ht="15" hidden="false" customHeight="false" outlineLevel="0" collapsed="false">
      <c r="A27" s="0" t="s">
        <v>86</v>
      </c>
    </row>
    <row r="28" customFormat="false" ht="15" hidden="false" customHeight="false" outlineLevel="0" collapsed="false">
      <c r="A28" s="0" t="s">
        <v>87</v>
      </c>
    </row>
    <row r="29" customFormat="false" ht="15" hidden="false" customHeight="false" outlineLevel="0" collapsed="false">
      <c r="A29" s="0" t="s">
        <v>88</v>
      </c>
    </row>
    <row r="30" customFormat="false" ht="15" hidden="false" customHeight="false" outlineLevel="0" collapsed="false">
      <c r="A30" s="0" t="s">
        <v>89</v>
      </c>
    </row>
    <row r="31" customFormat="false" ht="15" hidden="false" customHeight="false" outlineLevel="0" collapsed="false">
      <c r="A31" s="0" t="s">
        <v>90</v>
      </c>
    </row>
    <row r="32" customFormat="false" ht="15" hidden="false" customHeight="false" outlineLevel="0" collapsed="false">
      <c r="A32" s="0" t="s">
        <v>91</v>
      </c>
    </row>
    <row r="33" customFormat="false" ht="15" hidden="false" customHeight="false" outlineLevel="0" collapsed="false">
      <c r="A33" s="0" t="s">
        <v>92</v>
      </c>
    </row>
    <row r="35" customFormat="false" ht="15" hidden="false" customHeight="false" outlineLevel="0" collapsed="false">
      <c r="A35" s="0" t="s">
        <v>93</v>
      </c>
    </row>
    <row r="36" customFormat="false" ht="15" hidden="false" customHeight="false" outlineLevel="0" collapsed="false">
      <c r="A36" s="0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2025-12-09T21:03:07Z</dcterms:created>
  <dc:creator>openpyxl</dc:creator>
  <dc:description/>
  <dc:language>en-US</dc:language>
  <cp:lastModifiedBy/>
  <dcterms:modified xsi:type="dcterms:W3CDTF">2025-12-09T21:03:07Z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